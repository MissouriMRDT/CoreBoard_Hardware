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laydn\Documents\Github\CoreBoard_Hardware\core_board\"/>
    </mc:Choice>
  </mc:AlternateContent>
  <xr:revisionPtr revIDLastSave="0" documentId="13_ncr:9_{C53CF311-7E4D-4BC2-B2ED-FD23C5F4EDBC}" xr6:coauthVersionLast="47" xr6:coauthVersionMax="47" xr10:uidLastSave="{00000000-0000-0000-0000-000000000000}"/>
  <bookViews>
    <workbookView xWindow="-108" yWindow="-108" windowWidth="23256" windowHeight="12456" xr2:uid="{9A4DC107-8EC3-4C2E-B61B-81E673112C2C}"/>
  </bookViews>
  <sheets>
    <sheet name="core_board" sheetId="1" r:id="rId1"/>
  </sheets>
  <calcPr calcId="0"/>
</workbook>
</file>

<file path=xl/calcChain.xml><?xml version="1.0" encoding="utf-8"?>
<calcChain xmlns="http://schemas.openxmlformats.org/spreadsheetml/2006/main">
  <c r="G47" i="1" l="1"/>
  <c r="G45" i="1"/>
  <c r="G44" i="1"/>
  <c r="G43" i="1"/>
  <c r="G42" i="1"/>
  <c r="G41" i="1"/>
  <c r="G11" i="1"/>
  <c r="G7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0" i="1"/>
  <c r="G9" i="1"/>
  <c r="G8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<sst xmlns="http://schemas.openxmlformats.org/spreadsheetml/2006/main" count="188" uniqueCount="123">
  <si>
    <t>Reference</t>
  </si>
  <si>
    <t>Qty</t>
  </si>
  <si>
    <t>Value</t>
  </si>
  <si>
    <t>Footprint</t>
  </si>
  <si>
    <t>Datasheet</t>
  </si>
  <si>
    <t>C1,C15</t>
  </si>
  <si>
    <t>10uF</t>
  </si>
  <si>
    <t>Capacitor_SMD:C_0603_1608Metric_Pad1.08x0.95mm_HandSolder</t>
  </si>
  <si>
    <t>C3,C10</t>
  </si>
  <si>
    <t>100nF</t>
  </si>
  <si>
    <t>C5</t>
  </si>
  <si>
    <t>47pF</t>
  </si>
  <si>
    <t>C8,C9</t>
  </si>
  <si>
    <t>22uF</t>
  </si>
  <si>
    <t>C11</t>
  </si>
  <si>
    <t>0.1ÂµF</t>
  </si>
  <si>
    <t>C12</t>
  </si>
  <si>
    <t>0.01uF</t>
  </si>
  <si>
    <t>C13</t>
  </si>
  <si>
    <t>47uF</t>
  </si>
  <si>
    <t>C14</t>
  </si>
  <si>
    <t>0.1uF</t>
  </si>
  <si>
    <t>D1</t>
  </si>
  <si>
    <t>MMSZ5240BT1G</t>
  </si>
  <si>
    <t>LED_SMD:LED_0603_1608Metric_Pad1.05x0.95mm_HandSolder</t>
  </si>
  <si>
    <t>https://www.onsemi.com/pdf/datasheet/mmsz5221bt1-d.pdf</t>
  </si>
  <si>
    <t>D2,D3,D4,D5</t>
  </si>
  <si>
    <t>Orange</t>
  </si>
  <si>
    <t>D6,D7,D8,D9,D10,D11</t>
  </si>
  <si>
    <t>Blue</t>
  </si>
  <si>
    <t>D12</t>
  </si>
  <si>
    <t>PMEG4050EP,115</t>
  </si>
  <si>
    <t>Diode_SMD:D_SOD-128</t>
  </si>
  <si>
    <t>https://assets.nexperia.com/documents/data-sheet/PMEG4050EP.pdf</t>
  </si>
  <si>
    <t>GreenLED1,GreenLED2,GreenLED3</t>
  </si>
  <si>
    <t>LED</t>
  </si>
  <si>
    <t>J1</t>
  </si>
  <si>
    <t>Molex_Megafit_02</t>
  </si>
  <si>
    <t>MRDT_Connectors:MOLEX_MegaFit_02_Vertical</t>
  </si>
  <si>
    <t>https://www.molex.com/en-us/products/part-detail-pdf/768250002?display=pdf</t>
  </si>
  <si>
    <t>J2</t>
  </si>
  <si>
    <t>RJ45_LED_Shielded</t>
  </si>
  <si>
    <t>MRDT_Connectors:RJ45_Teensy</t>
  </si>
  <si>
    <t>J3,J6,J9,J11,J14,J15</t>
  </si>
  <si>
    <t>Conn_01x02_Pin</t>
  </si>
  <si>
    <t>Connector_JST:JST_PH_B2B-PH-K_1x02_P2.00mm_Vertical</t>
  </si>
  <si>
    <t>J4Serv1,J5,J8,J10</t>
  </si>
  <si>
    <t>Conn_01x04_Pin</t>
  </si>
  <si>
    <t>Connector_JST:JST_PH_B4B-PH-K_1x04_P2.00mm_Vertical</t>
  </si>
  <si>
    <t>J12</t>
  </si>
  <si>
    <t>J13,J16</t>
  </si>
  <si>
    <t>Conn_01x03_Pin</t>
  </si>
  <si>
    <t>Connector_JST:JST_PH_B3B-PH-K_1x03_P2.00mm_Vertical</t>
  </si>
  <si>
    <t>L1</t>
  </si>
  <si>
    <t>14uH</t>
  </si>
  <si>
    <t>Inductor_SMD:L_TechFuse_SL1050</t>
  </si>
  <si>
    <t>L3</t>
  </si>
  <si>
    <t>22uH</t>
  </si>
  <si>
    <t>AMRM00101040220MA1:IND_AMRM00101040_PUL</t>
  </si>
  <si>
    <t>https://www.digikey.com/en/products/detail/pulse-electronics/AMRM00101040220MA1/21407853</t>
  </si>
  <si>
    <t>Q1</t>
  </si>
  <si>
    <t>TPC8132_LQS</t>
  </si>
  <si>
    <t>MRDT_Devices:TPC8132_LQS</t>
  </si>
  <si>
    <t>Q2,Q3,Q4,Q5,Q6,Q7,Q18,Q19,Q20,Q21</t>
  </si>
  <si>
    <t>BSS138</t>
  </si>
  <si>
    <t>Package_TO_SOT_SMD:SOT-23</t>
  </si>
  <si>
    <t>https://www.onsemi.com/pub/Collateral/BSS138-D.PDF</t>
  </si>
  <si>
    <t>R1,R14,R19,R20,R25,R26,R29</t>
  </si>
  <si>
    <t>1k</t>
  </si>
  <si>
    <t>Resistor_SMD:R_0603_1608Metric_Pad0.98x0.95mm_HandSolder</t>
  </si>
  <si>
    <t>R2</t>
  </si>
  <si>
    <t>252K</t>
  </si>
  <si>
    <t>R3</t>
  </si>
  <si>
    <t>30.1k</t>
  </si>
  <si>
    <t>R4</t>
  </si>
  <si>
    <t>6.8K</t>
  </si>
  <si>
    <t>R5</t>
  </si>
  <si>
    <t>2.2K</t>
  </si>
  <si>
    <t>R6</t>
  </si>
  <si>
    <t>1.5K</t>
  </si>
  <si>
    <t>R7</t>
  </si>
  <si>
    <t>10kohm</t>
  </si>
  <si>
    <t>R8,R9,R10,R12</t>
  </si>
  <si>
    <t>2.2k</t>
  </si>
  <si>
    <t>R11,R15,R16,R21,R23,R27,R31,R35,R41,R45</t>
  </si>
  <si>
    <t>10k</t>
  </si>
  <si>
    <t>R13,R17,R18,R22,R24,R28,R30,R34,R39,R44</t>
  </si>
  <si>
    <t>R32Serv1,R36,R38,R42</t>
  </si>
  <si>
    <t>R48</t>
  </si>
  <si>
    <t>160k</t>
  </si>
  <si>
    <t>R49</t>
  </si>
  <si>
    <t>30k</t>
  </si>
  <si>
    <t>R50</t>
  </si>
  <si>
    <t>4.7k</t>
  </si>
  <si>
    <t>S1</t>
  </si>
  <si>
    <t>94HBB08T</t>
  </si>
  <si>
    <t>94HBBBO6T:DIPS762W56P254L991H597Q6N</t>
  </si>
  <si>
    <t>https://datasheet.datasheetarchive.com/originals/distributors/SFDatasheet-7/sf-000148482.pdf</t>
  </si>
  <si>
    <t>SW1,SW2,SW3,SW4</t>
  </si>
  <si>
    <t>SW_Push</t>
  </si>
  <si>
    <t>MRDT_Switches:SW_SPST_TL3305A</t>
  </si>
  <si>
    <t>THe1</t>
  </si>
  <si>
    <t>Thermistor_NTC</t>
  </si>
  <si>
    <t>Resistor_SMD:R_1206_3216Metric_Pad1.30x1.75mm_HandSolder</t>
  </si>
  <si>
    <t>https://www.tdk-electronics.tdk.com/inf/50/db/ntc/NTC_SMD_Standard_series_0402.pdf</t>
  </si>
  <si>
    <t>U1</t>
  </si>
  <si>
    <t>AP63301WU7</t>
  </si>
  <si>
    <t>Package_TO_SOT_SMD:SOT-23-6_Handsoldering</t>
  </si>
  <si>
    <t>https://www.diodes.com/assets/Datasheets/AP63200Q_AP63201Q_AP63203Q_AP63205Q.pdf</t>
  </si>
  <si>
    <t>U3</t>
  </si>
  <si>
    <t>MRDT_Shields:RoveNode_H5</t>
  </si>
  <si>
    <t>U4</t>
  </si>
  <si>
    <t>BD9G401EFJ-E2</t>
  </si>
  <si>
    <t>Package_SO:SOIC-8-1EP_3.9x4.9mm_P1.27mm_EP2.29x3mm</t>
  </si>
  <si>
    <t>https://fscdn.rohm.com/en/products/databook/datasheet/ic/power/switching_regulator/bd9g401efj-e.pdf</t>
  </si>
  <si>
    <t>U5,U6,U7,U8</t>
  </si>
  <si>
    <t>MRDT_Drill_Holes:4_40_Hole_Pad_Via</t>
  </si>
  <si>
    <t>Price per Component</t>
  </si>
  <si>
    <t>~</t>
  </si>
  <si>
    <t>Total:</t>
  </si>
  <si>
    <t>https://www.codaca.com/Private/pdf/CSBA1050.pdf</t>
  </si>
  <si>
    <t xml:space="preserve">Total: </t>
  </si>
  <si>
    <t>Standard Components: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</si>
</sst>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">
    <xf numFmtId="0" fontId="0" fillId="0" borderId="0" xfId="0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18" fillId="0" borderId="0" xfId="42"/>
    <xf numFmtId="0" fontId="0" fillId="0" borderId="0" xfId="0" applyAlignment="1">
      <alignment horizontal="righ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dk-electronics.tdk.com/inf/50/db/ntc/NTC_SMD_Standard_series_0402.pdf" TargetMode="External"/><Relationship Id="rId1" Type="http://schemas.openxmlformats.org/officeDocument/2006/relationships/hyperlink" Target="https://www.codaca.com/Private/pdf/CSBA105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820C-9AE0-48CD-BB82-BF0CC29D7809}">
  <dimension ref="A1:G47"/>
  <sheetViews>
    <sheetView tabSelected="1" topLeftCell="A28" workbookViewId="0">
      <selection activeCell="I48" sqref="I48"/>
    </sheetView>
  </sheetViews>
  <sheetFormatPr defaultRowHeight="14.4" x14ac:dyDescent="0.3"/>
  <cols>
    <col min="1" max="1" width="40.88671875" customWidth="1"/>
    <col min="2" max="2" width="18.21875" customWidth="1"/>
    <col min="3" max="3" width="58.77734375" customWidth="1"/>
    <col min="6" max="6" width="18.88671875" style="2" customWidth="1"/>
    <col min="7" max="7" width="8.88671875" style="2"/>
  </cols>
  <sheetData>
    <row r="1" spans="1:7" x14ac:dyDescent="0.3">
      <c r="A1" t="s">
        <v>0</v>
      </c>
      <c r="B1" t="s">
        <v>2</v>
      </c>
      <c r="C1" t="s">
        <v>3</v>
      </c>
      <c r="D1" t="s">
        <v>4</v>
      </c>
      <c r="E1" t="s">
        <v>1</v>
      </c>
      <c r="F1" s="1" t="s">
        <v>117</v>
      </c>
      <c r="G1" s="1" t="s">
        <v>119</v>
      </c>
    </row>
    <row r="2" spans="1:7" x14ac:dyDescent="0.3">
      <c r="A2" t="s">
        <v>5</v>
      </c>
      <c r="B2" t="s">
        <v>6</v>
      </c>
      <c r="C2" t="s">
        <v>7</v>
      </c>
      <c r="E2">
        <v>2</v>
      </c>
      <c r="F2" s="2" t="s">
        <v>118</v>
      </c>
      <c r="G2" s="2" t="str">
        <f>IF(F2= "~", "~", (E2*F2))</f>
        <v>~</v>
      </c>
    </row>
    <row r="3" spans="1:7" x14ac:dyDescent="0.3">
      <c r="A3" t="s">
        <v>8</v>
      </c>
      <c r="B3" t="s">
        <v>9</v>
      </c>
      <c r="C3" t="s">
        <v>7</v>
      </c>
      <c r="E3">
        <v>2</v>
      </c>
      <c r="F3" s="2" t="s">
        <v>118</v>
      </c>
      <c r="G3" s="2" t="str">
        <f t="shared" ref="G3:G45" si="0">IF(F3= "~", "~", (E3*F3))</f>
        <v>~</v>
      </c>
    </row>
    <row r="4" spans="1:7" x14ac:dyDescent="0.3">
      <c r="A4" t="s">
        <v>10</v>
      </c>
      <c r="B4" t="s">
        <v>11</v>
      </c>
      <c r="C4" t="s">
        <v>7</v>
      </c>
      <c r="E4">
        <v>1</v>
      </c>
      <c r="F4" s="2" t="s">
        <v>118</v>
      </c>
      <c r="G4" s="2" t="str">
        <f t="shared" si="0"/>
        <v>~</v>
      </c>
    </row>
    <row r="5" spans="1:7" x14ac:dyDescent="0.3">
      <c r="A5" t="s">
        <v>12</v>
      </c>
      <c r="B5" t="s">
        <v>13</v>
      </c>
      <c r="C5" t="s">
        <v>7</v>
      </c>
      <c r="E5">
        <v>2</v>
      </c>
      <c r="F5" s="2" t="s">
        <v>118</v>
      </c>
      <c r="G5" s="2" t="str">
        <f t="shared" si="0"/>
        <v>~</v>
      </c>
    </row>
    <row r="6" spans="1:7" x14ac:dyDescent="0.3">
      <c r="A6" t="s">
        <v>14</v>
      </c>
      <c r="B6" t="s">
        <v>15</v>
      </c>
      <c r="C6" t="s">
        <v>7</v>
      </c>
      <c r="E6">
        <v>1</v>
      </c>
      <c r="F6" s="2" t="s">
        <v>118</v>
      </c>
      <c r="G6" s="2" t="str">
        <f t="shared" si="0"/>
        <v>~</v>
      </c>
    </row>
    <row r="7" spans="1:7" x14ac:dyDescent="0.3">
      <c r="A7" t="s">
        <v>16</v>
      </c>
      <c r="B7" t="s">
        <v>17</v>
      </c>
      <c r="C7" t="s">
        <v>7</v>
      </c>
      <c r="E7">
        <v>1</v>
      </c>
      <c r="F7" s="2" t="s">
        <v>118</v>
      </c>
      <c r="G7" s="2" t="str">
        <f t="shared" si="0"/>
        <v>~</v>
      </c>
    </row>
    <row r="8" spans="1:7" x14ac:dyDescent="0.3">
      <c r="A8" t="s">
        <v>18</v>
      </c>
      <c r="B8" t="s">
        <v>19</v>
      </c>
      <c r="C8" t="s">
        <v>7</v>
      </c>
      <c r="E8">
        <v>1</v>
      </c>
      <c r="F8" s="2" t="s">
        <v>118</v>
      </c>
      <c r="G8" s="2" t="str">
        <f t="shared" si="0"/>
        <v>~</v>
      </c>
    </row>
    <row r="9" spans="1:7" x14ac:dyDescent="0.3">
      <c r="A9" t="s">
        <v>20</v>
      </c>
      <c r="B9" t="s">
        <v>21</v>
      </c>
      <c r="C9" t="s">
        <v>7</v>
      </c>
      <c r="E9">
        <v>1</v>
      </c>
      <c r="F9" s="2" t="s">
        <v>118</v>
      </c>
      <c r="G9" s="2" t="str">
        <f t="shared" si="0"/>
        <v>~</v>
      </c>
    </row>
    <row r="10" spans="1:7" x14ac:dyDescent="0.3">
      <c r="A10" t="s">
        <v>22</v>
      </c>
      <c r="B10" t="s">
        <v>23</v>
      </c>
      <c r="C10" t="s">
        <v>24</v>
      </c>
      <c r="D10" t="s">
        <v>25</v>
      </c>
      <c r="E10">
        <v>1</v>
      </c>
      <c r="F10" s="2" t="s">
        <v>118</v>
      </c>
      <c r="G10" s="2" t="str">
        <f t="shared" si="0"/>
        <v>~</v>
      </c>
    </row>
    <row r="11" spans="1:7" x14ac:dyDescent="0.3">
      <c r="A11" t="s">
        <v>26</v>
      </c>
      <c r="B11" t="s">
        <v>27</v>
      </c>
      <c r="C11" t="s">
        <v>24</v>
      </c>
      <c r="E11">
        <v>4</v>
      </c>
      <c r="F11" s="2" t="s">
        <v>118</v>
      </c>
      <c r="G11" s="2" t="str">
        <f t="shared" si="0"/>
        <v>~</v>
      </c>
    </row>
    <row r="12" spans="1:7" x14ac:dyDescent="0.3">
      <c r="A12" t="s">
        <v>28</v>
      </c>
      <c r="B12" t="s">
        <v>29</v>
      </c>
      <c r="C12" t="s">
        <v>24</v>
      </c>
      <c r="E12">
        <v>6</v>
      </c>
      <c r="F12" s="2" t="s">
        <v>118</v>
      </c>
      <c r="G12" s="2" t="str">
        <f t="shared" si="0"/>
        <v>~</v>
      </c>
    </row>
    <row r="13" spans="1:7" x14ac:dyDescent="0.3">
      <c r="A13" t="s">
        <v>30</v>
      </c>
      <c r="B13" t="s">
        <v>31</v>
      </c>
      <c r="C13" t="s">
        <v>32</v>
      </c>
      <c r="D13" t="s">
        <v>33</v>
      </c>
      <c r="E13">
        <v>1</v>
      </c>
      <c r="F13" s="2">
        <v>0.9</v>
      </c>
      <c r="G13" s="2">
        <f t="shared" si="0"/>
        <v>0.9</v>
      </c>
    </row>
    <row r="14" spans="1:7" x14ac:dyDescent="0.3">
      <c r="A14" t="s">
        <v>34</v>
      </c>
      <c r="B14" t="s">
        <v>35</v>
      </c>
      <c r="C14" t="s">
        <v>24</v>
      </c>
      <c r="E14">
        <v>3</v>
      </c>
      <c r="F14" s="2" t="s">
        <v>118</v>
      </c>
      <c r="G14" s="2" t="str">
        <f t="shared" si="0"/>
        <v>~</v>
      </c>
    </row>
    <row r="15" spans="1:7" x14ac:dyDescent="0.3">
      <c r="A15" t="s">
        <v>36</v>
      </c>
      <c r="B15" t="s">
        <v>37</v>
      </c>
      <c r="C15" t="s">
        <v>38</v>
      </c>
      <c r="D15" t="s">
        <v>39</v>
      </c>
      <c r="E15">
        <v>1</v>
      </c>
      <c r="F15" s="2" t="s">
        <v>118</v>
      </c>
      <c r="G15" s="2" t="str">
        <f t="shared" si="0"/>
        <v>~</v>
      </c>
    </row>
    <row r="16" spans="1:7" x14ac:dyDescent="0.3">
      <c r="A16" t="s">
        <v>40</v>
      </c>
      <c r="B16" t="s">
        <v>41</v>
      </c>
      <c r="C16" t="s">
        <v>42</v>
      </c>
      <c r="E16">
        <v>1</v>
      </c>
      <c r="F16" s="2" t="s">
        <v>118</v>
      </c>
      <c r="G16" s="2" t="str">
        <f t="shared" si="0"/>
        <v>~</v>
      </c>
    </row>
    <row r="17" spans="1:7" x14ac:dyDescent="0.3">
      <c r="A17" t="s">
        <v>43</v>
      </c>
      <c r="B17" t="s">
        <v>44</v>
      </c>
      <c r="C17" t="s">
        <v>45</v>
      </c>
      <c r="E17">
        <v>6</v>
      </c>
      <c r="F17" s="2" t="s">
        <v>118</v>
      </c>
      <c r="G17" s="2" t="str">
        <f t="shared" si="0"/>
        <v>~</v>
      </c>
    </row>
    <row r="18" spans="1:7" x14ac:dyDescent="0.3">
      <c r="A18" t="s">
        <v>46</v>
      </c>
      <c r="B18" t="s">
        <v>47</v>
      </c>
      <c r="C18" t="s">
        <v>48</v>
      </c>
      <c r="E18">
        <v>4</v>
      </c>
      <c r="F18" s="2" t="s">
        <v>118</v>
      </c>
      <c r="G18" s="2" t="str">
        <f t="shared" si="0"/>
        <v>~</v>
      </c>
    </row>
    <row r="19" spans="1:7" x14ac:dyDescent="0.3">
      <c r="A19" t="s">
        <v>49</v>
      </c>
      <c r="B19" t="s">
        <v>44</v>
      </c>
      <c r="C19" t="s">
        <v>38</v>
      </c>
      <c r="E19">
        <v>1</v>
      </c>
      <c r="F19" s="2" t="s">
        <v>118</v>
      </c>
      <c r="G19" s="2" t="str">
        <f t="shared" si="0"/>
        <v>~</v>
      </c>
    </row>
    <row r="20" spans="1:7" x14ac:dyDescent="0.3">
      <c r="A20" t="s">
        <v>50</v>
      </c>
      <c r="B20" t="s">
        <v>51</v>
      </c>
      <c r="C20" t="s">
        <v>52</v>
      </c>
      <c r="E20">
        <v>2</v>
      </c>
      <c r="F20" s="2" t="s">
        <v>118</v>
      </c>
      <c r="G20" s="2" t="str">
        <f t="shared" si="0"/>
        <v>~</v>
      </c>
    </row>
    <row r="21" spans="1:7" x14ac:dyDescent="0.3">
      <c r="A21" t="s">
        <v>53</v>
      </c>
      <c r="B21" t="s">
        <v>54</v>
      </c>
      <c r="C21" t="s">
        <v>55</v>
      </c>
      <c r="D21" s="4" t="s">
        <v>120</v>
      </c>
      <c r="E21">
        <v>1</v>
      </c>
      <c r="F21" s="2">
        <v>1.92</v>
      </c>
      <c r="G21" s="2">
        <f t="shared" si="0"/>
        <v>1.92</v>
      </c>
    </row>
    <row r="22" spans="1:7" x14ac:dyDescent="0.3">
      <c r="A22" t="s">
        <v>56</v>
      </c>
      <c r="B22" t="s">
        <v>57</v>
      </c>
      <c r="C22" t="s">
        <v>58</v>
      </c>
      <c r="D22" t="s">
        <v>59</v>
      </c>
      <c r="E22">
        <v>1</v>
      </c>
      <c r="F22" s="2">
        <v>0.43</v>
      </c>
      <c r="G22" s="2">
        <f t="shared" si="0"/>
        <v>0.43</v>
      </c>
    </row>
    <row r="23" spans="1:7" x14ac:dyDescent="0.3">
      <c r="A23" t="s">
        <v>60</v>
      </c>
      <c r="B23" t="s">
        <v>61</v>
      </c>
      <c r="C23" t="s">
        <v>62</v>
      </c>
      <c r="E23">
        <v>1</v>
      </c>
      <c r="F23" s="2" t="s">
        <v>118</v>
      </c>
      <c r="G23" s="2" t="str">
        <f t="shared" si="0"/>
        <v>~</v>
      </c>
    </row>
    <row r="24" spans="1:7" x14ac:dyDescent="0.3">
      <c r="A24" t="s">
        <v>63</v>
      </c>
      <c r="B24" t="s">
        <v>64</v>
      </c>
      <c r="C24" t="s">
        <v>65</v>
      </c>
      <c r="D24" t="s">
        <v>66</v>
      </c>
      <c r="E24">
        <v>10</v>
      </c>
      <c r="F24" s="2" t="s">
        <v>118</v>
      </c>
      <c r="G24" s="2" t="str">
        <f t="shared" si="0"/>
        <v>~</v>
      </c>
    </row>
    <row r="25" spans="1:7" x14ac:dyDescent="0.3">
      <c r="A25" t="s">
        <v>67</v>
      </c>
      <c r="B25" t="s">
        <v>68</v>
      </c>
      <c r="C25" t="s">
        <v>69</v>
      </c>
      <c r="E25">
        <v>7</v>
      </c>
      <c r="F25" s="2" t="s">
        <v>118</v>
      </c>
      <c r="G25" s="2" t="str">
        <f t="shared" si="0"/>
        <v>~</v>
      </c>
    </row>
    <row r="26" spans="1:7" x14ac:dyDescent="0.3">
      <c r="A26" t="s">
        <v>70</v>
      </c>
      <c r="B26" t="s">
        <v>71</v>
      </c>
      <c r="C26" t="s">
        <v>69</v>
      </c>
      <c r="E26">
        <v>1</v>
      </c>
      <c r="F26" s="2" t="s">
        <v>118</v>
      </c>
      <c r="G26" s="2" t="str">
        <f t="shared" si="0"/>
        <v>~</v>
      </c>
    </row>
    <row r="27" spans="1:7" x14ac:dyDescent="0.3">
      <c r="A27" t="s">
        <v>72</v>
      </c>
      <c r="B27" t="s">
        <v>73</v>
      </c>
      <c r="C27" t="s">
        <v>69</v>
      </c>
      <c r="E27">
        <v>1</v>
      </c>
      <c r="F27" s="2" t="s">
        <v>118</v>
      </c>
      <c r="G27" s="2" t="str">
        <f t="shared" si="0"/>
        <v>~</v>
      </c>
    </row>
    <row r="28" spans="1:7" x14ac:dyDescent="0.3">
      <c r="A28" t="s">
        <v>74</v>
      </c>
      <c r="B28" t="s">
        <v>75</v>
      </c>
      <c r="C28" t="s">
        <v>69</v>
      </c>
      <c r="E28">
        <v>1</v>
      </c>
      <c r="F28" s="2" t="s">
        <v>118</v>
      </c>
      <c r="G28" s="2" t="str">
        <f t="shared" si="0"/>
        <v>~</v>
      </c>
    </row>
    <row r="29" spans="1:7" x14ac:dyDescent="0.3">
      <c r="A29" t="s">
        <v>76</v>
      </c>
      <c r="B29" t="s">
        <v>77</v>
      </c>
      <c r="C29" t="s">
        <v>69</v>
      </c>
      <c r="E29">
        <v>1</v>
      </c>
      <c r="F29" s="2" t="s">
        <v>118</v>
      </c>
      <c r="G29" s="2" t="str">
        <f t="shared" si="0"/>
        <v>~</v>
      </c>
    </row>
    <row r="30" spans="1:7" x14ac:dyDescent="0.3">
      <c r="A30" t="s">
        <v>78</v>
      </c>
      <c r="B30" t="s">
        <v>79</v>
      </c>
      <c r="C30" t="s">
        <v>69</v>
      </c>
      <c r="E30">
        <v>1</v>
      </c>
      <c r="F30" s="2" t="s">
        <v>118</v>
      </c>
      <c r="G30" s="2" t="str">
        <f t="shared" si="0"/>
        <v>~</v>
      </c>
    </row>
    <row r="31" spans="1:7" x14ac:dyDescent="0.3">
      <c r="A31" t="s">
        <v>80</v>
      </c>
      <c r="B31" t="s">
        <v>81</v>
      </c>
      <c r="C31" t="s">
        <v>69</v>
      </c>
      <c r="E31">
        <v>1</v>
      </c>
      <c r="F31" s="2" t="s">
        <v>118</v>
      </c>
      <c r="G31" s="2" t="str">
        <f t="shared" si="0"/>
        <v>~</v>
      </c>
    </row>
    <row r="32" spans="1:7" x14ac:dyDescent="0.3">
      <c r="A32" t="s">
        <v>82</v>
      </c>
      <c r="B32" t="s">
        <v>83</v>
      </c>
      <c r="C32" t="s">
        <v>69</v>
      </c>
      <c r="E32">
        <v>4</v>
      </c>
      <c r="F32" s="2" t="s">
        <v>118</v>
      </c>
      <c r="G32" s="2" t="str">
        <f t="shared" si="0"/>
        <v>~</v>
      </c>
    </row>
    <row r="33" spans="1:7" x14ac:dyDescent="0.3">
      <c r="A33" t="s">
        <v>84</v>
      </c>
      <c r="B33" t="s">
        <v>85</v>
      </c>
      <c r="C33" t="s">
        <v>69</v>
      </c>
      <c r="E33">
        <v>10</v>
      </c>
      <c r="F33" s="2" t="s">
        <v>118</v>
      </c>
      <c r="G33" s="2" t="str">
        <f t="shared" si="0"/>
        <v>~</v>
      </c>
    </row>
    <row r="34" spans="1:7" x14ac:dyDescent="0.3">
      <c r="A34" t="s">
        <v>86</v>
      </c>
      <c r="B34" s="3">
        <v>100</v>
      </c>
      <c r="C34" t="s">
        <v>69</v>
      </c>
      <c r="E34">
        <v>10</v>
      </c>
      <c r="F34" s="2" t="s">
        <v>118</v>
      </c>
      <c r="G34" s="2" t="str">
        <f t="shared" si="0"/>
        <v>~</v>
      </c>
    </row>
    <row r="35" spans="1:7" x14ac:dyDescent="0.3">
      <c r="A35" t="s">
        <v>87</v>
      </c>
      <c r="B35" s="3">
        <v>220</v>
      </c>
      <c r="C35" t="s">
        <v>69</v>
      </c>
      <c r="E35">
        <v>4</v>
      </c>
      <c r="F35" s="2" t="s">
        <v>118</v>
      </c>
      <c r="G35" s="2" t="str">
        <f t="shared" si="0"/>
        <v>~</v>
      </c>
    </row>
    <row r="36" spans="1:7" x14ac:dyDescent="0.3">
      <c r="A36" t="s">
        <v>88</v>
      </c>
      <c r="B36" t="s">
        <v>89</v>
      </c>
      <c r="C36" t="s">
        <v>69</v>
      </c>
      <c r="E36">
        <v>1</v>
      </c>
      <c r="F36" s="2" t="s">
        <v>118</v>
      </c>
      <c r="G36" s="2" t="str">
        <f t="shared" si="0"/>
        <v>~</v>
      </c>
    </row>
    <row r="37" spans="1:7" x14ac:dyDescent="0.3">
      <c r="A37" t="s">
        <v>90</v>
      </c>
      <c r="B37" t="s">
        <v>91</v>
      </c>
      <c r="C37" t="s">
        <v>69</v>
      </c>
      <c r="E37">
        <v>1</v>
      </c>
      <c r="F37" s="2" t="s">
        <v>118</v>
      </c>
      <c r="G37" s="2" t="str">
        <f t="shared" si="0"/>
        <v>~</v>
      </c>
    </row>
    <row r="38" spans="1:7" x14ac:dyDescent="0.3">
      <c r="A38" t="s">
        <v>92</v>
      </c>
      <c r="B38" t="s">
        <v>93</v>
      </c>
      <c r="C38" t="s">
        <v>69</v>
      </c>
      <c r="E38">
        <v>1</v>
      </c>
      <c r="F38" s="2" t="s">
        <v>118</v>
      </c>
      <c r="G38" s="2" t="str">
        <f t="shared" si="0"/>
        <v>~</v>
      </c>
    </row>
    <row r="39" spans="1:7" x14ac:dyDescent="0.3">
      <c r="A39" t="s">
        <v>94</v>
      </c>
      <c r="B39" t="s">
        <v>95</v>
      </c>
      <c r="C39" t="s">
        <v>96</v>
      </c>
      <c r="D39" t="s">
        <v>97</v>
      </c>
      <c r="E39">
        <v>1</v>
      </c>
      <c r="F39" s="2">
        <v>5.61</v>
      </c>
      <c r="G39" s="2">
        <f t="shared" si="0"/>
        <v>5.61</v>
      </c>
    </row>
    <row r="40" spans="1:7" x14ac:dyDescent="0.3">
      <c r="A40" t="s">
        <v>98</v>
      </c>
      <c r="B40" t="s">
        <v>99</v>
      </c>
      <c r="C40" t="s">
        <v>100</v>
      </c>
      <c r="E40">
        <v>4</v>
      </c>
      <c r="F40" s="2" t="s">
        <v>118</v>
      </c>
      <c r="G40" s="2" t="str">
        <f t="shared" si="0"/>
        <v>~</v>
      </c>
    </row>
    <row r="41" spans="1:7" x14ac:dyDescent="0.3">
      <c r="A41" t="s">
        <v>101</v>
      </c>
      <c r="B41" t="s">
        <v>102</v>
      </c>
      <c r="C41" t="s">
        <v>103</v>
      </c>
      <c r="D41" s="4" t="s">
        <v>104</v>
      </c>
      <c r="E41">
        <v>1</v>
      </c>
      <c r="F41" s="2">
        <v>0.12</v>
      </c>
      <c r="G41" s="2">
        <f t="shared" si="0"/>
        <v>0.12</v>
      </c>
    </row>
    <row r="42" spans="1:7" x14ac:dyDescent="0.3">
      <c r="A42" t="s">
        <v>105</v>
      </c>
      <c r="B42" t="s">
        <v>106</v>
      </c>
      <c r="C42" t="s">
        <v>107</v>
      </c>
      <c r="D42" t="s">
        <v>108</v>
      </c>
      <c r="E42">
        <v>1</v>
      </c>
      <c r="F42" s="2">
        <v>0.96</v>
      </c>
      <c r="G42" s="2">
        <f t="shared" si="0"/>
        <v>0.96</v>
      </c>
    </row>
    <row r="43" spans="1:7" x14ac:dyDescent="0.3">
      <c r="A43" t="s">
        <v>109</v>
      </c>
      <c r="C43" t="s">
        <v>110</v>
      </c>
      <c r="E43">
        <v>1</v>
      </c>
      <c r="F43" s="2">
        <v>25</v>
      </c>
      <c r="G43" s="2">
        <f t="shared" si="0"/>
        <v>25</v>
      </c>
    </row>
    <row r="44" spans="1:7" x14ac:dyDescent="0.3">
      <c r="A44" t="s">
        <v>111</v>
      </c>
      <c r="B44" t="s">
        <v>112</v>
      </c>
      <c r="C44" t="s">
        <v>113</v>
      </c>
      <c r="D44" t="s">
        <v>114</v>
      </c>
      <c r="E44">
        <v>1</v>
      </c>
      <c r="F44" s="2">
        <v>1.55</v>
      </c>
      <c r="G44" s="2">
        <f t="shared" si="0"/>
        <v>1.55</v>
      </c>
    </row>
    <row r="45" spans="1:7" x14ac:dyDescent="0.3">
      <c r="A45" t="s">
        <v>115</v>
      </c>
      <c r="C45" t="s">
        <v>116</v>
      </c>
      <c r="E45">
        <v>4</v>
      </c>
      <c r="F45" s="2" t="s">
        <v>118</v>
      </c>
      <c r="G45" s="2" t="str">
        <f t="shared" si="0"/>
        <v>~</v>
      </c>
    </row>
    <row r="46" spans="1:7" x14ac:dyDescent="0.3">
      <c r="A46" s="3" t="s">
        <v>122</v>
      </c>
      <c r="B46" s="5" t="s">
        <v>118</v>
      </c>
      <c r="C46" s="5" t="s">
        <v>118</v>
      </c>
      <c r="D46" s="5" t="s">
        <v>118</v>
      </c>
      <c r="E46" s="5" t="s">
        <v>118</v>
      </c>
      <c r="F46" s="2" t="s">
        <v>118</v>
      </c>
      <c r="G46" s="2">
        <v>15</v>
      </c>
    </row>
    <row r="47" spans="1:7" x14ac:dyDescent="0.3">
      <c r="F47" s="2" t="s">
        <v>121</v>
      </c>
      <c r="G47" s="2">
        <f>SUM(G2:G46)</f>
        <v>51.489999999999995</v>
      </c>
    </row>
  </sheetData>
  <hyperlinks>
    <hyperlink ref="D21" r:id="rId1" xr:uid="{8C3DF471-5930-4BA5-A426-1E7EAEC2CEC2}"/>
    <hyperlink ref="D41" r:id="rId2" xr:uid="{1DBBCB26-ADA9-4877-9C5C-3F2BDDEF45E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core_board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Blaydn Buckwalter</dc:creator>
  <cp:lastModifiedBy>Buckwalter, Blaydn (S&amp;T-Student)</cp:lastModifiedBy>
  <dcterms:created xsi:type="dcterms:W3CDTF">2026-10-31T03:28:01Z</dcterms:created>
  <dcterms:modified xsi:type="dcterms:W3CDTF">2026-10-31T03:55:50Z</dcterms:modified>
</cp:coreProperties>
</file>